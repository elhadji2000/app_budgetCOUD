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USB PROGRAMMATION\partage1\COMPTE ADMINISTRATIF\"/>
    </mc:Choice>
  </mc:AlternateContent>
  <bookViews>
    <workbookView xWindow="-120" yWindow="-120" windowWidth="24240" windowHeight="13140"/>
  </bookViews>
  <sheets>
    <sheet name="PRODUITS" sheetId="1" r:id="rId1"/>
    <sheet name="CHARGES" sheetId="3" r:id="rId2"/>
    <sheet name="INVEST, LT" sheetId="5" r:id="rId3"/>
    <sheet name="RESULTAT" sheetId="6" r:id="rId4"/>
  </sheets>
  <definedNames>
    <definedName name="_xlnm.Print_Area" localSheetId="1">CHARGES!$A$3:$L$21</definedName>
    <definedName name="_xlnm.Print_Area" localSheetId="2">'INVEST, LT'!$B$6:$O$17</definedName>
    <definedName name="_xlnm.Print_Area" localSheetId="0">PRODUITS!$A$1:$I$25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2" i="6" l="1"/>
  <c r="G21" i="6"/>
  <c r="G15" i="6"/>
  <c r="G14" i="6"/>
  <c r="G12" i="6"/>
  <c r="G11" i="6"/>
  <c r="G10" i="6"/>
  <c r="G9" i="6"/>
  <c r="E11" i="6"/>
  <c r="E10" i="6"/>
  <c r="E9" i="6"/>
  <c r="G18" i="6" l="1"/>
  <c r="D22" i="6" l="1"/>
  <c r="G23" i="6"/>
  <c r="G25" i="6" s="1"/>
  <c r="D20" i="6"/>
  <c r="E22" i="6" l="1"/>
  <c r="E20" i="6" l="1"/>
  <c r="E23" i="6" s="1"/>
  <c r="E18" i="6" l="1"/>
  <c r="E25" i="6" l="1"/>
</calcChain>
</file>

<file path=xl/sharedStrings.xml><?xml version="1.0" encoding="utf-8"?>
<sst xmlns="http://schemas.openxmlformats.org/spreadsheetml/2006/main" count="108" uniqueCount="78">
  <si>
    <t>PRODUITS</t>
  </si>
  <si>
    <t>N° DE COMPTE</t>
  </si>
  <si>
    <t>LIBELLES</t>
  </si>
  <si>
    <t>PREVISIONS INTIALES</t>
  </si>
  <si>
    <t>TAUX DE REALISATION</t>
  </si>
  <si>
    <t>RESTES A REALISER OU ECARTS</t>
  </si>
  <si>
    <t>MODIFICATIONS</t>
  </si>
  <si>
    <t>TOTAL</t>
  </si>
  <si>
    <t>SECTIONS</t>
  </si>
  <si>
    <t>FONCTIONNEMENTS</t>
  </si>
  <si>
    <t>INVESTISSEMENTS</t>
  </si>
  <si>
    <t>TOTAL GENERAL</t>
  </si>
  <si>
    <r>
      <rPr>
        <b/>
        <u/>
        <sz val="16"/>
        <color theme="1"/>
        <rFont val="Calibri"/>
        <family val="2"/>
        <scheme val="minor"/>
      </rPr>
      <t>TABLEAU 1:</t>
    </r>
    <r>
      <rPr>
        <b/>
        <sz val="16"/>
        <color theme="1"/>
        <rFont val="Calibri"/>
        <family val="2"/>
        <scheme val="minor"/>
      </rPr>
      <t xml:space="preserve"> PRODUITS</t>
    </r>
  </si>
  <si>
    <t>PREVISIONS INITIALES</t>
  </si>
  <si>
    <t>ORDONNANCEMENTS</t>
  </si>
  <si>
    <t>FONCTIONNEMENT</t>
  </si>
  <si>
    <t>TABLEAU 3: SITUATION DES AUTORISATIONS DE PROGRAMMES (DEPENSES D'INVESTISSEMENTS A REALISER)</t>
  </si>
  <si>
    <t>DATE DEBUT</t>
  </si>
  <si>
    <t>DATE FIN</t>
  </si>
  <si>
    <t>AUTORISATIONS D'ENGAGEMENT</t>
  </si>
  <si>
    <t>MONTANT INITIAL</t>
  </si>
  <si>
    <t>CREDITS DE PAIEMENT</t>
  </si>
  <si>
    <t>CUMUL CP ANTERIEURES</t>
  </si>
  <si>
    <t>CP DE L'ANNEE</t>
  </si>
  <si>
    <t>CUMUL ORD GESTION ANTERIEURE</t>
  </si>
  <si>
    <t>ORD GESTION COURANTE</t>
  </si>
  <si>
    <t>CP DISPONIBLES</t>
  </si>
  <si>
    <t>RESTES A PROGRAMMER</t>
  </si>
  <si>
    <t>DISPONIBLES</t>
  </si>
  <si>
    <t>TOTAL AP</t>
  </si>
  <si>
    <t>LIBELLE</t>
  </si>
  <si>
    <t>MONTANT</t>
  </si>
  <si>
    <t>CHARGES</t>
  </si>
  <si>
    <t>TOTAL(1)</t>
  </si>
  <si>
    <t>TOTAL(2)</t>
  </si>
  <si>
    <t>TOTAL(4)</t>
  </si>
  <si>
    <t>INVESTISSEMENT</t>
  </si>
  <si>
    <t>LIBELLES DES PROGRAMME</t>
  </si>
  <si>
    <t>TOTAL(3)</t>
  </si>
  <si>
    <t>VENTES</t>
  </si>
  <si>
    <t>SUBVENTION D'EXPLOITATION</t>
  </si>
  <si>
    <t>AUTRES PRODUITS</t>
  </si>
  <si>
    <t>SUBVENTION D'INVESTISSEMENT</t>
  </si>
  <si>
    <t>REPRISE DOTATION AUX AMORTISSEMENTS</t>
  </si>
  <si>
    <t>Achats</t>
  </si>
  <si>
    <t>Transport</t>
  </si>
  <si>
    <t>Impots et Taxes</t>
  </si>
  <si>
    <t>Autres Charges</t>
  </si>
  <si>
    <t>Charges du personnel</t>
  </si>
  <si>
    <t>Charges Financieres</t>
  </si>
  <si>
    <t>Materiel immobilisé</t>
  </si>
  <si>
    <t>Emprunts et Dettes auprès des Etablissements de crédits</t>
  </si>
  <si>
    <t>COMPTE ADMINISTRATIF DU 01 JANVIER AU 31 DECEMBRE 2019 AU TITRE DE L'EXERCICE 2019</t>
  </si>
  <si>
    <t>Dotations aux Amortissements</t>
  </si>
  <si>
    <t>Charges Financières</t>
  </si>
  <si>
    <t>Impôts et Taxes</t>
  </si>
  <si>
    <t>Bâtiments, Installations techniques et Agencements</t>
  </si>
  <si>
    <t>Dépôt et Cautionnement</t>
  </si>
  <si>
    <t>TABLEAU 2: CHARGES</t>
  </si>
  <si>
    <t>Batiments, Installations techniques et Agencements</t>
  </si>
  <si>
    <t>Dotation aux Amortissements</t>
  </si>
  <si>
    <t>Services Exterieurs</t>
  </si>
  <si>
    <t xml:space="preserve">Autres Services </t>
  </si>
  <si>
    <t>REPRISES DE SUBVENTION D'INVESTISSEMENT</t>
  </si>
  <si>
    <t xml:space="preserve">Autres Services Extérieurs </t>
  </si>
  <si>
    <t>DOCUMENT SYNTHETIQUE DE L'EXECUTION DU BUDGET 2020</t>
  </si>
  <si>
    <t>REALISATIONS AU 27/11/2020</t>
  </si>
  <si>
    <t>REPORT D'INVESTISSEMENT 2019</t>
  </si>
  <si>
    <t>ENGAGEMENTS AU 27/11/2020</t>
  </si>
  <si>
    <t>ORDONNANCEMENTS AU 27/11/2020</t>
  </si>
  <si>
    <t>MONTANTS PAYES AU 27/11/2020</t>
  </si>
  <si>
    <t>DEPASSEMENT</t>
  </si>
  <si>
    <t>REPORT DE FONCTIONNEMENT 2019</t>
  </si>
  <si>
    <r>
      <t>TABLEAU 3:</t>
    </r>
    <r>
      <rPr>
        <b/>
        <sz val="16"/>
        <color theme="1"/>
        <rFont val="Calibri"/>
        <family val="2"/>
        <scheme val="minor"/>
      </rPr>
      <t xml:space="preserve"> RESULTAT DE GESTION</t>
    </r>
  </si>
  <si>
    <t xml:space="preserve">       SUBVENTION ETAT DU SENEGAL</t>
  </si>
  <si>
    <t xml:space="preserve">SOLDE DE LA SECTION D'INVESTISSEMENT = </t>
  </si>
  <si>
    <t xml:space="preserve">SOLDE GLOBAL DE GESTION OU TOTAL REPORT A NOUVEAU = </t>
  </si>
  <si>
    <t xml:space="preserve">SOLDE DE LA SECTION DE FONCTIONNEMENT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</si>
</sst>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  <numFmt numFmtId="167" formatCode="#,##0_ ;\-#,##0\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1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9" fillId="0" borderId="0" xfId="0" applyFont="1"/>
    <xf numFmtId="0" fontId="0" fillId="0" borderId="1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165" fontId="0" fillId="0" borderId="40" xfId="1" applyNumberFormat="1" applyFont="1" applyBorder="1" applyAlignment="1">
      <alignment horizontal="center" vertical="center"/>
    </xf>
    <xf numFmtId="165" fontId="0" fillId="0" borderId="0" xfId="0" applyNumberFormat="1"/>
    <xf numFmtId="166" fontId="0" fillId="0" borderId="30" xfId="1" applyNumberFormat="1" applyFont="1" applyBorder="1" applyAlignment="1">
      <alignment horizontal="center" vertical="center"/>
    </xf>
    <xf numFmtId="165" fontId="0" fillId="0" borderId="15" xfId="1" applyNumberFormat="1" applyFont="1" applyBorder="1" applyAlignment="1">
      <alignment horizontal="center" vertical="center"/>
    </xf>
    <xf numFmtId="10" fontId="0" fillId="0" borderId="19" xfId="1" applyNumberFormat="1" applyFont="1" applyBorder="1" applyAlignment="1">
      <alignment horizontal="center" vertical="center"/>
    </xf>
    <xf numFmtId="165" fontId="0" fillId="0" borderId="32" xfId="1" applyNumberFormat="1" applyFont="1" applyBorder="1" applyAlignment="1">
      <alignment horizontal="center" vertical="center"/>
    </xf>
    <xf numFmtId="165" fontId="0" fillId="0" borderId="16" xfId="1" applyNumberFormat="1" applyFont="1" applyBorder="1" applyAlignment="1">
      <alignment horizontal="center" vertical="center"/>
    </xf>
    <xf numFmtId="165" fontId="0" fillId="0" borderId="13" xfId="1" applyNumberFormat="1" applyFont="1" applyBorder="1" applyAlignment="1">
      <alignment horizontal="center" vertical="center"/>
    </xf>
    <xf numFmtId="165" fontId="0" fillId="0" borderId="29" xfId="1" applyNumberFormat="1" applyFont="1" applyBorder="1" applyAlignment="1">
      <alignment horizontal="center" vertical="center"/>
    </xf>
    <xf numFmtId="165" fontId="0" fillId="0" borderId="27" xfId="1" applyNumberFormat="1" applyFont="1" applyBorder="1" applyAlignment="1">
      <alignment horizontal="center" vertical="center"/>
    </xf>
    <xf numFmtId="165" fontId="1" fillId="0" borderId="29" xfId="1" applyNumberFormat="1" applyFont="1" applyBorder="1" applyAlignment="1">
      <alignment horizontal="center" vertical="center"/>
    </xf>
    <xf numFmtId="0" fontId="1" fillId="0" borderId="0" xfId="0" applyFont="1"/>
    <xf numFmtId="167" fontId="0" fillId="0" borderId="29" xfId="1" applyNumberFormat="1" applyFont="1" applyBorder="1" applyAlignment="1">
      <alignment horizontal="center" vertical="center"/>
    </xf>
    <xf numFmtId="167" fontId="0" fillId="0" borderId="32" xfId="1" applyNumberFormat="1" applyFont="1" applyBorder="1" applyAlignment="1">
      <alignment horizontal="center" vertical="center"/>
    </xf>
    <xf numFmtId="167" fontId="0" fillId="0" borderId="16" xfId="1" applyNumberFormat="1" applyFont="1" applyBorder="1" applyAlignment="1">
      <alignment horizontal="center" vertical="center"/>
    </xf>
    <xf numFmtId="165" fontId="1" fillId="0" borderId="17" xfId="1" applyNumberFormat="1" applyFont="1" applyBorder="1" applyAlignment="1">
      <alignment horizontal="center" vertical="center"/>
    </xf>
    <xf numFmtId="167" fontId="0" fillId="0" borderId="27" xfId="1" applyNumberFormat="1" applyFont="1" applyBorder="1" applyAlignment="1">
      <alignment horizontal="center" vertical="center"/>
    </xf>
    <xf numFmtId="0" fontId="10" fillId="0" borderId="27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/>
    </xf>
    <xf numFmtId="0" fontId="10" fillId="0" borderId="32" xfId="0" applyFont="1" applyFill="1" applyBorder="1" applyAlignment="1">
      <alignment horizontal="left" vertical="center"/>
    </xf>
    <xf numFmtId="0" fontId="10" fillId="0" borderId="40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49" xfId="0" applyFont="1" applyFill="1" applyBorder="1" applyAlignment="1">
      <alignment horizontal="left" vertical="center" wrapText="1"/>
    </xf>
    <xf numFmtId="0" fontId="10" fillId="0" borderId="32" xfId="0" applyFont="1" applyFill="1" applyBorder="1" applyAlignment="1">
      <alignment horizontal="left" vertical="center" wrapText="1"/>
    </xf>
    <xf numFmtId="167" fontId="1" fillId="0" borderId="29" xfId="1" applyNumberFormat="1" applyFont="1" applyBorder="1" applyAlignment="1">
      <alignment horizontal="center" vertical="center"/>
    </xf>
    <xf numFmtId="167" fontId="1" fillId="0" borderId="17" xfId="1" applyNumberFormat="1" applyFont="1" applyBorder="1" applyAlignment="1">
      <alignment horizontal="center" vertical="center"/>
    </xf>
    <xf numFmtId="167" fontId="0" fillId="0" borderId="0" xfId="0" applyNumberFormat="1"/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/>
    </xf>
    <xf numFmtId="165" fontId="0" fillId="0" borderId="16" xfId="1" applyNumberFormat="1" applyFont="1" applyBorder="1" applyAlignment="1">
      <alignment horizontal="center" vertical="center"/>
    </xf>
    <xf numFmtId="165" fontId="0" fillId="0" borderId="29" xfId="1" applyNumberFormat="1" applyFont="1" applyBorder="1" applyAlignment="1">
      <alignment horizontal="center" vertical="center"/>
    </xf>
    <xf numFmtId="165" fontId="0" fillId="0" borderId="0" xfId="1" applyNumberFormat="1" applyFont="1"/>
    <xf numFmtId="0" fontId="0" fillId="0" borderId="21" xfId="0" applyBorder="1" applyAlignment="1">
      <alignment horizontal="center" vertical="center"/>
    </xf>
    <xf numFmtId="165" fontId="0" fillId="0" borderId="15" xfId="1" applyNumberFormat="1" applyFont="1" applyBorder="1" applyAlignment="1">
      <alignment horizontal="center" vertical="center"/>
    </xf>
    <xf numFmtId="165" fontId="0" fillId="0" borderId="16" xfId="1" applyNumberFormat="1" applyFont="1" applyBorder="1" applyAlignment="1">
      <alignment horizontal="center" vertical="center"/>
    </xf>
    <xf numFmtId="165" fontId="0" fillId="0" borderId="29" xfId="1" applyNumberFormat="1" applyFont="1" applyBorder="1" applyAlignment="1">
      <alignment horizontal="center" vertical="center"/>
    </xf>
    <xf numFmtId="165" fontId="11" fillId="0" borderId="32" xfId="1" applyNumberFormat="1" applyFont="1" applyBorder="1" applyAlignment="1">
      <alignment horizontal="center" vertical="center"/>
    </xf>
    <xf numFmtId="165" fontId="11" fillId="0" borderId="16" xfId="1" applyNumberFormat="1" applyFont="1" applyBorder="1" applyAlignment="1">
      <alignment horizontal="center" vertical="center"/>
    </xf>
    <xf numFmtId="165" fontId="7" fillId="0" borderId="16" xfId="1" applyNumberFormat="1" applyFont="1" applyBorder="1" applyAlignment="1">
      <alignment horizontal="center" vertical="center"/>
    </xf>
    <xf numFmtId="165" fontId="7" fillId="0" borderId="32" xfId="1" applyNumberFormat="1" applyFont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65" fontId="0" fillId="0" borderId="33" xfId="1" applyNumberFormat="1" applyFont="1" applyBorder="1" applyAlignment="1">
      <alignment horizontal="center" vertical="center"/>
    </xf>
    <xf numFmtId="0" fontId="0" fillId="0" borderId="56" xfId="0" applyBorder="1" applyAlignment="1">
      <alignment vertical="center"/>
    </xf>
    <xf numFmtId="0" fontId="0" fillId="0" borderId="40" xfId="0" applyBorder="1" applyAlignment="1">
      <alignment horizontal="left" vertical="center"/>
    </xf>
    <xf numFmtId="165" fontId="0" fillId="0" borderId="0" xfId="2" applyNumberFormat="1" applyFont="1"/>
    <xf numFmtId="0" fontId="10" fillId="0" borderId="32" xfId="0" applyFont="1" applyFill="1" applyBorder="1" applyAlignment="1">
      <alignment horizontal="center" vertical="center"/>
    </xf>
    <xf numFmtId="10" fontId="0" fillId="0" borderId="0" xfId="2" applyNumberFormat="1" applyFont="1"/>
    <xf numFmtId="0" fontId="0" fillId="0" borderId="38" xfId="0" applyBorder="1"/>
    <xf numFmtId="165" fontId="1" fillId="0" borderId="16" xfId="1" applyNumberFormat="1" applyFont="1" applyBorder="1" applyAlignment="1">
      <alignment horizontal="center" vertical="center"/>
    </xf>
    <xf numFmtId="165" fontId="8" fillId="0" borderId="13" xfId="1" applyNumberFormat="1" applyFont="1" applyBorder="1" applyAlignment="1">
      <alignment horizontal="center" vertical="center"/>
    </xf>
    <xf numFmtId="10" fontId="0" fillId="0" borderId="0" xfId="2" applyNumberFormat="1" applyFont="1" applyBorder="1"/>
    <xf numFmtId="0" fontId="0" fillId="0" borderId="32" xfId="0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5" fontId="11" fillId="0" borderId="15" xfId="1" applyNumberFormat="1" applyFont="1" applyBorder="1" applyAlignment="1">
      <alignment horizontal="center" vertical="center"/>
    </xf>
    <xf numFmtId="165" fontId="11" fillId="0" borderId="29" xfId="1" applyNumberFormat="1" applyFont="1" applyBorder="1" applyAlignment="1">
      <alignment horizontal="center" vertical="center"/>
    </xf>
    <xf numFmtId="165" fontId="11" fillId="0" borderId="46" xfId="1" applyNumberFormat="1" applyFont="1" applyBorder="1" applyAlignment="1">
      <alignment horizontal="center" vertical="center"/>
    </xf>
    <xf numFmtId="165" fontId="11" fillId="0" borderId="47" xfId="1" applyNumberFormat="1" applyFont="1" applyBorder="1" applyAlignment="1">
      <alignment horizontal="center" vertical="center"/>
    </xf>
    <xf numFmtId="165" fontId="7" fillId="0" borderId="46" xfId="1" applyNumberFormat="1" applyFont="1" applyBorder="1" applyAlignment="1">
      <alignment horizontal="center" vertical="center"/>
    </xf>
    <xf numFmtId="0" fontId="0" fillId="0" borderId="54" xfId="0" applyBorder="1"/>
    <xf numFmtId="0" fontId="0" fillId="0" borderId="7" xfId="0" applyBorder="1"/>
    <xf numFmtId="0" fontId="7" fillId="0" borderId="44" xfId="0" applyFont="1" applyBorder="1" applyAlignment="1">
      <alignment horizontal="center" vertical="center"/>
    </xf>
    <xf numFmtId="165" fontId="11" fillId="0" borderId="51" xfId="1" applyNumberFormat="1" applyFont="1" applyBorder="1" applyAlignment="1">
      <alignment horizontal="center" vertical="center"/>
    </xf>
    <xf numFmtId="165" fontId="11" fillId="0" borderId="34" xfId="1" applyNumberFormat="1" applyFont="1" applyBorder="1" applyAlignment="1">
      <alignment horizontal="center" vertical="center"/>
    </xf>
    <xf numFmtId="165" fontId="7" fillId="0" borderId="34" xfId="1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/>
    </xf>
    <xf numFmtId="0" fontId="1" fillId="0" borderId="2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/>
    </xf>
    <xf numFmtId="9" fontId="0" fillId="0" borderId="10" xfId="2" applyFont="1" applyBorder="1" applyAlignment="1">
      <alignment vertical="center"/>
    </xf>
    <xf numFmtId="9" fontId="0" fillId="0" borderId="11" xfId="2" applyFont="1" applyBorder="1" applyAlignment="1">
      <alignment vertical="center"/>
    </xf>
    <xf numFmtId="165" fontId="6" fillId="0" borderId="40" xfId="1" applyNumberFormat="1" applyFont="1" applyBorder="1" applyAlignment="1">
      <alignment horizontal="center" vertical="center"/>
    </xf>
    <xf numFmtId="165" fontId="6" fillId="0" borderId="15" xfId="1" applyNumberFormat="1" applyFont="1" applyBorder="1" applyAlignment="1">
      <alignment horizontal="center" vertical="center"/>
    </xf>
    <xf numFmtId="10" fontId="6" fillId="0" borderId="19" xfId="1" applyNumberFormat="1" applyFont="1" applyBorder="1" applyAlignment="1">
      <alignment horizontal="center" vertical="center"/>
    </xf>
    <xf numFmtId="165" fontId="6" fillId="0" borderId="42" xfId="1" applyNumberFormat="1" applyFont="1" applyBorder="1" applyAlignment="1">
      <alignment horizontal="center" vertical="center"/>
    </xf>
    <xf numFmtId="165" fontId="6" fillId="0" borderId="14" xfId="1" applyNumberFormat="1" applyFont="1" applyBorder="1" applyAlignment="1">
      <alignment horizontal="center" vertical="center"/>
    </xf>
    <xf numFmtId="165" fontId="6" fillId="0" borderId="13" xfId="1" applyNumberFormat="1" applyFont="1" applyBorder="1" applyAlignment="1">
      <alignment horizontal="center" vertical="center"/>
    </xf>
    <xf numFmtId="10" fontId="6" fillId="0" borderId="18" xfId="1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165" fontId="9" fillId="0" borderId="28" xfId="1" applyNumberFormat="1" applyFont="1" applyBorder="1" applyAlignment="1">
      <alignment horizontal="center" vertical="center"/>
    </xf>
    <xf numFmtId="165" fontId="12" fillId="0" borderId="24" xfId="1" applyNumberFormat="1" applyFont="1" applyBorder="1" applyAlignment="1">
      <alignment horizontal="center" vertical="center"/>
    </xf>
    <xf numFmtId="10" fontId="9" fillId="0" borderId="21" xfId="1" applyNumberFormat="1" applyFont="1" applyBorder="1" applyAlignment="1">
      <alignment horizontal="center" vertical="center"/>
    </xf>
    <xf numFmtId="165" fontId="9" fillId="0" borderId="32" xfId="1" applyNumberFormat="1" applyFont="1" applyBorder="1" applyAlignment="1">
      <alignment horizontal="center" vertical="center"/>
    </xf>
    <xf numFmtId="10" fontId="9" fillId="0" borderId="28" xfId="1" applyNumberFormat="1" applyFont="1" applyBorder="1" applyAlignment="1">
      <alignment horizontal="center" vertical="center"/>
    </xf>
    <xf numFmtId="165" fontId="12" fillId="0" borderId="40" xfId="1" applyNumberFormat="1" applyFont="1" applyBorder="1" applyAlignment="1">
      <alignment horizontal="center" vertical="center"/>
    </xf>
    <xf numFmtId="165" fontId="12" fillId="0" borderId="13" xfId="1" applyNumberFormat="1" applyFont="1" applyBorder="1" applyAlignment="1">
      <alignment horizontal="center" vertical="center"/>
    </xf>
    <xf numFmtId="165" fontId="13" fillId="0" borderId="0" xfId="1" applyNumberFormat="1" applyFont="1"/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165" fontId="14" fillId="0" borderId="0" xfId="0" applyNumberFormat="1" applyFont="1"/>
    <xf numFmtId="0" fontId="14" fillId="0" borderId="0" xfId="0" applyFont="1" applyAlignment="1">
      <alignment horizontal="right"/>
    </xf>
    <xf numFmtId="165" fontId="0" fillId="0" borderId="35" xfId="1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 wrapText="1"/>
    </xf>
    <xf numFmtId="165" fontId="6" fillId="0" borderId="25" xfId="1" applyNumberFormat="1" applyFont="1" applyBorder="1" applyAlignment="1">
      <alignment horizontal="center" vertical="center"/>
    </xf>
    <xf numFmtId="166" fontId="6" fillId="0" borderId="30" xfId="1" applyNumberFormat="1" applyFont="1" applyBorder="1" applyAlignment="1">
      <alignment horizontal="center" vertical="center"/>
    </xf>
    <xf numFmtId="9" fontId="0" fillId="0" borderId="50" xfId="2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textRotation="90"/>
    </xf>
    <xf numFmtId="0" fontId="1" fillId="0" borderId="16" xfId="0" applyFont="1" applyBorder="1" applyAlignment="1">
      <alignment horizontal="center" vertical="center" textRotation="90"/>
    </xf>
    <xf numFmtId="0" fontId="1" fillId="0" borderId="17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/>
    </xf>
    <xf numFmtId="165" fontId="0" fillId="0" borderId="53" xfId="1" applyNumberFormat="1" applyFont="1" applyBorder="1" applyAlignment="1">
      <alignment horizontal="center" vertical="center"/>
    </xf>
    <xf numFmtId="165" fontId="0" fillId="0" borderId="34" xfId="1" applyNumberFormat="1" applyFont="1" applyBorder="1" applyAlignment="1">
      <alignment horizontal="center" vertical="center"/>
    </xf>
    <xf numFmtId="165" fontId="0" fillId="0" borderId="47" xfId="1" applyNumberFormat="1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5" fontId="0" fillId="0" borderId="5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/>
    </xf>
    <xf numFmtId="0" fontId="2" fillId="0" borderId="4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0" borderId="5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7" fillId="0" borderId="57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0" borderId="60" xfId="0" applyFont="1" applyBorder="1" applyAlignment="1">
      <alignment horizontal="left" vertical="center"/>
    </xf>
    <xf numFmtId="0" fontId="7" fillId="0" borderId="58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2" fillId="0" borderId="5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10" fillId="0" borderId="40" xfId="0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center" vertical="center"/>
    </xf>
    <xf numFmtId="165" fontId="11" fillId="0" borderId="40" xfId="1" applyNumberFormat="1" applyFont="1" applyBorder="1" applyAlignment="1">
      <alignment horizontal="center" vertical="center"/>
    </xf>
    <xf numFmtId="165" fontId="11" fillId="0" borderId="29" xfId="1" applyNumberFormat="1" applyFont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7327</xdr:colOff>
      <xdr:row>21</xdr:row>
      <xdr:rowOff>190500</xdr:rowOff>
    </xdr:from>
    <xdr:to>
      <xdr:col>5</xdr:col>
      <xdr:colOff>1238252</xdr:colOff>
      <xdr:row>25</xdr:row>
      <xdr:rowOff>80596</xdr:rowOff>
    </xdr:to>
    <xdr:sp macro="" textlink="">
      <xdr:nvSpPr>
        <xdr:cNvPr id="2" name="ZoneTexte 1"/>
        <xdr:cNvSpPr txBox="1"/>
      </xdr:nvSpPr>
      <xdr:spPr>
        <a:xfrm>
          <a:off x="395654" y="6982558"/>
          <a:ext cx="6733444" cy="659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u="sng"/>
            <a:t>NB:</a:t>
          </a:r>
        </a:p>
        <a:p>
          <a:r>
            <a:rPr lang="fr-FR" sz="1100"/>
            <a:t>Des</a:t>
          </a:r>
          <a:r>
            <a:rPr lang="fr-FR" sz="1100" baseline="0"/>
            <a:t> crédits additionnels d'un montant de </a:t>
          </a:r>
          <a:r>
            <a:rPr lang="fr-FR" sz="1100" b="1" baseline="0"/>
            <a:t>4 295 106 662 </a:t>
          </a:r>
          <a:r>
            <a:rPr lang="fr-FR" sz="1100" baseline="0"/>
            <a:t>F CFA ont été reçus pour l'exercice 2020. </a:t>
          </a:r>
        </a:p>
        <a:p>
          <a:r>
            <a:rPr lang="fr-FR" sz="1100" baseline="0"/>
            <a:t>Donc, le dépassement restant à couvrir est de : 8 470 118 997 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 CFA </a:t>
          </a:r>
          <a:r>
            <a:rPr lang="fr-FR" sz="1100" baseline="0"/>
            <a:t> - 4 295 106 662 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 CFA </a:t>
          </a:r>
          <a:r>
            <a:rPr lang="fr-FR" sz="1100" baseline="0"/>
            <a:t>= </a:t>
          </a:r>
          <a:r>
            <a:rPr lang="fr-FR" sz="1100" b="1" baseline="0"/>
            <a:t>4 175 012 335 </a:t>
          </a:r>
          <a:r>
            <a:rPr lang="fr-FR" sz="1100" baseline="0"/>
            <a:t>F CFA</a:t>
          </a:r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tabSelected="1" topLeftCell="A3" zoomScaleNormal="100" workbookViewId="0">
      <selection activeCell="I27" sqref="I27:I30"/>
    </sheetView>
  </sheetViews>
  <sheetFormatPr baseColWidth="10" defaultRowHeight="15" x14ac:dyDescent="0.25"/>
  <cols>
    <col min="1" max="1" width="6.5703125" customWidth="1"/>
    <col min="2" max="2" width="11.42578125" customWidth="1"/>
    <col min="3" max="3" width="40.7109375" customWidth="1"/>
    <col min="4" max="4" width="18.85546875" customWidth="1"/>
    <col min="5" max="5" width="18.42578125" customWidth="1"/>
    <col min="6" max="6" width="17.28515625" customWidth="1"/>
    <col min="7" max="7" width="19.85546875" customWidth="1"/>
    <col min="8" max="8" width="18.140625" customWidth="1"/>
    <col min="9" max="9" width="18.28515625" customWidth="1"/>
    <col min="10" max="10" width="11.28515625" customWidth="1"/>
  </cols>
  <sheetData>
    <row r="1" spans="1:11" ht="30.75" customHeight="1" x14ac:dyDescent="0.25">
      <c r="A1" s="168" t="s">
        <v>65</v>
      </c>
      <c r="B1" s="168"/>
      <c r="C1" s="168"/>
      <c r="D1" s="168"/>
      <c r="E1" s="168"/>
      <c r="F1" s="168"/>
      <c r="G1" s="168"/>
      <c r="H1" s="158"/>
      <c r="I1" s="158"/>
      <c r="J1" s="9"/>
    </row>
    <row r="2" spans="1:11" ht="39.75" customHeight="1" thickBot="1" x14ac:dyDescent="0.3">
      <c r="A2" s="169" t="s">
        <v>12</v>
      </c>
      <c r="B2" s="169"/>
      <c r="C2" s="169"/>
      <c r="D2" s="169"/>
      <c r="E2" s="169"/>
      <c r="F2" s="169"/>
      <c r="G2" s="169"/>
      <c r="H2" s="159"/>
      <c r="I2" s="2"/>
      <c r="J2" s="2"/>
    </row>
    <row r="3" spans="1:11" s="1" customFormat="1" ht="71.25" customHeight="1" thickTop="1" thickBot="1" x14ac:dyDescent="0.3">
      <c r="A3" s="25" t="s">
        <v>8</v>
      </c>
      <c r="B3" s="21" t="s">
        <v>1</v>
      </c>
      <c r="C3" s="30" t="s">
        <v>2</v>
      </c>
      <c r="D3" s="28" t="s">
        <v>3</v>
      </c>
      <c r="E3" s="28" t="s">
        <v>66</v>
      </c>
      <c r="F3" s="28" t="s">
        <v>5</v>
      </c>
      <c r="G3" s="21" t="s">
        <v>4</v>
      </c>
      <c r="H3" s="146"/>
    </row>
    <row r="4" spans="1:11" ht="30" customHeight="1" thickTop="1" thickBot="1" x14ac:dyDescent="0.3">
      <c r="A4" s="173" t="s">
        <v>9</v>
      </c>
      <c r="B4" s="26">
        <v>70</v>
      </c>
      <c r="C4" s="59" t="s">
        <v>39</v>
      </c>
      <c r="D4" s="65"/>
      <c r="E4" s="65"/>
      <c r="F4" s="65"/>
      <c r="G4" s="66"/>
      <c r="H4" s="20"/>
      <c r="I4" s="63"/>
    </row>
    <row r="5" spans="1:11" ht="30.75" customHeight="1" thickTop="1" thickBot="1" x14ac:dyDescent="0.3">
      <c r="A5" s="174"/>
      <c r="B5" s="26">
        <v>71</v>
      </c>
      <c r="C5" s="60" t="s">
        <v>40</v>
      </c>
      <c r="D5" s="62"/>
      <c r="E5" s="65"/>
      <c r="F5" s="97"/>
      <c r="G5" s="66"/>
      <c r="H5" s="20"/>
      <c r="I5" s="63"/>
    </row>
    <row r="6" spans="1:11" ht="30.75" customHeight="1" thickTop="1" thickBot="1" x14ac:dyDescent="0.3">
      <c r="A6" s="174"/>
      <c r="B6" s="26">
        <v>7181</v>
      </c>
      <c r="C6" s="163" t="s">
        <v>74</v>
      </c>
      <c r="D6" s="162"/>
      <c r="E6" s="67"/>
      <c r="F6" s="97"/>
      <c r="G6" s="66"/>
      <c r="H6" s="20"/>
    </row>
    <row r="7" spans="1:11" ht="31.5" customHeight="1" thickTop="1" thickBot="1" x14ac:dyDescent="0.3">
      <c r="A7" s="174"/>
      <c r="B7" s="37">
        <v>75</v>
      </c>
      <c r="C7" s="109" t="s">
        <v>41</v>
      </c>
      <c r="D7" s="99"/>
      <c r="E7" s="99"/>
      <c r="F7" s="97"/>
      <c r="G7" s="66"/>
      <c r="H7" s="20"/>
      <c r="K7" s="7"/>
    </row>
    <row r="8" spans="1:11" ht="31.5" customHeight="1" thickTop="1" thickBot="1" x14ac:dyDescent="0.3">
      <c r="A8" s="174"/>
      <c r="B8" s="96"/>
      <c r="C8" s="61" t="s">
        <v>72</v>
      </c>
      <c r="D8" s="98"/>
      <c r="E8" s="98"/>
      <c r="F8" s="97"/>
      <c r="G8" s="66"/>
      <c r="H8" s="20"/>
      <c r="K8" s="7"/>
    </row>
    <row r="9" spans="1:11" ht="30" customHeight="1" thickTop="1" thickBot="1" x14ac:dyDescent="0.3">
      <c r="A9" s="174"/>
      <c r="B9" s="27">
        <v>799</v>
      </c>
      <c r="C9" s="118" t="s">
        <v>63</v>
      </c>
      <c r="D9" s="67"/>
      <c r="E9" s="65"/>
      <c r="F9" s="97"/>
      <c r="G9" s="66"/>
      <c r="H9" s="20"/>
      <c r="J9" s="113"/>
      <c r="K9" s="7"/>
    </row>
    <row r="10" spans="1:11" s="1" customFormat="1" ht="29.25" customHeight="1" thickTop="1" thickBot="1" x14ac:dyDescent="0.3">
      <c r="A10" s="175"/>
      <c r="B10" s="176" t="s">
        <v>7</v>
      </c>
      <c r="C10" s="186"/>
      <c r="D10" s="139"/>
      <c r="E10" s="140"/>
      <c r="F10" s="140"/>
      <c r="G10" s="141"/>
      <c r="H10" s="6"/>
    </row>
    <row r="11" spans="1:11" ht="33.75" customHeight="1" thickTop="1" x14ac:dyDescent="0.25">
      <c r="A11" s="173" t="s">
        <v>10</v>
      </c>
      <c r="B11" s="187">
        <v>141</v>
      </c>
      <c r="C11" s="180" t="s">
        <v>42</v>
      </c>
      <c r="D11" s="177"/>
      <c r="E11" s="183"/>
      <c r="F11" s="177"/>
      <c r="G11" s="166"/>
      <c r="H11" s="10"/>
      <c r="J11" s="7"/>
      <c r="K11" s="7"/>
    </row>
    <row r="12" spans="1:11" ht="23.25" customHeight="1" thickBot="1" x14ac:dyDescent="0.3">
      <c r="A12" s="174"/>
      <c r="B12" s="188"/>
      <c r="C12" s="181"/>
      <c r="D12" s="178"/>
      <c r="E12" s="184"/>
      <c r="F12" s="178"/>
      <c r="G12" s="167"/>
      <c r="H12" s="10"/>
    </row>
    <row r="13" spans="1:11" ht="32.25" hidden="1" customHeight="1" thickBot="1" x14ac:dyDescent="0.3">
      <c r="A13" s="174"/>
      <c r="B13" s="188"/>
      <c r="C13" s="181"/>
      <c r="D13" s="178"/>
      <c r="E13" s="184"/>
      <c r="F13" s="178"/>
      <c r="G13" s="137"/>
      <c r="H13" s="10"/>
    </row>
    <row r="14" spans="1:11" ht="7.5" hidden="1" customHeight="1" thickBot="1" x14ac:dyDescent="0.3">
      <c r="A14" s="174"/>
      <c r="B14" s="188"/>
      <c r="C14" s="181"/>
      <c r="D14" s="178"/>
      <c r="E14" s="184"/>
      <c r="F14" s="178"/>
      <c r="G14" s="137"/>
      <c r="H14" s="10"/>
    </row>
    <row r="15" spans="1:11" ht="34.5" hidden="1" customHeight="1" thickBot="1" x14ac:dyDescent="0.3">
      <c r="A15" s="174"/>
      <c r="B15" s="188"/>
      <c r="C15" s="181"/>
      <c r="D15" s="178"/>
      <c r="E15" s="184"/>
      <c r="F15" s="178"/>
      <c r="G15" s="137"/>
      <c r="H15" s="10"/>
    </row>
    <row r="16" spans="1:11" ht="15.75" hidden="1" customHeight="1" thickBot="1" x14ac:dyDescent="0.3">
      <c r="A16" s="174"/>
      <c r="B16" s="188"/>
      <c r="C16" s="181"/>
      <c r="D16" s="178"/>
      <c r="E16" s="184"/>
      <c r="F16" s="178"/>
      <c r="G16" s="137"/>
      <c r="H16" s="10"/>
    </row>
    <row r="17" spans="1:11" ht="45" hidden="1" customHeight="1" thickBot="1" x14ac:dyDescent="0.3">
      <c r="A17" s="174"/>
      <c r="B17" s="188"/>
      <c r="C17" s="181"/>
      <c r="D17" s="178"/>
      <c r="E17" s="184"/>
      <c r="F17" s="178"/>
      <c r="G17" s="137"/>
      <c r="H17" s="10"/>
    </row>
    <row r="18" spans="1:11" ht="31.5" hidden="1" customHeight="1" thickBot="1" x14ac:dyDescent="0.3">
      <c r="A18" s="174"/>
      <c r="B18" s="188"/>
      <c r="C18" s="181"/>
      <c r="D18" s="178"/>
      <c r="E18" s="184"/>
      <c r="F18" s="178"/>
      <c r="G18" s="137"/>
      <c r="H18" s="10"/>
    </row>
    <row r="19" spans="1:11" ht="34.5" hidden="1" customHeight="1" thickBot="1" x14ac:dyDescent="0.3">
      <c r="A19" s="174"/>
      <c r="B19" s="188"/>
      <c r="C19" s="181"/>
      <c r="D19" s="178"/>
      <c r="E19" s="184"/>
      <c r="F19" s="178"/>
      <c r="G19" s="137"/>
      <c r="H19" s="10"/>
    </row>
    <row r="20" spans="1:11" ht="35.25" hidden="1" customHeight="1" thickBot="1" x14ac:dyDescent="0.3">
      <c r="A20" s="174"/>
      <c r="B20" s="188"/>
      <c r="C20" s="181"/>
      <c r="D20" s="178"/>
      <c r="E20" s="184"/>
      <c r="F20" s="178"/>
      <c r="G20" s="137"/>
      <c r="H20" s="10"/>
    </row>
    <row r="21" spans="1:11" ht="31.5" hidden="1" customHeight="1" thickBot="1" x14ac:dyDescent="0.3">
      <c r="A21" s="174"/>
      <c r="B21" s="188"/>
      <c r="C21" s="181"/>
      <c r="D21" s="178"/>
      <c r="E21" s="184"/>
      <c r="F21" s="178"/>
      <c r="G21" s="137"/>
      <c r="H21" s="10"/>
    </row>
    <row r="22" spans="1:11" ht="15.75" hidden="1" customHeight="1" thickBot="1" x14ac:dyDescent="0.3">
      <c r="A22" s="174"/>
      <c r="B22" s="189"/>
      <c r="C22" s="182"/>
      <c r="D22" s="179"/>
      <c r="E22" s="185"/>
      <c r="F22" s="179"/>
      <c r="G22" s="138"/>
      <c r="H22" s="10"/>
    </row>
    <row r="23" spans="1:11" ht="26.25" customHeight="1" thickBot="1" x14ac:dyDescent="0.3">
      <c r="A23" s="174"/>
      <c r="B23" s="43"/>
      <c r="C23" s="4" t="s">
        <v>67</v>
      </c>
      <c r="D23" s="67"/>
      <c r="E23" s="108"/>
      <c r="F23" s="67"/>
      <c r="G23" s="64"/>
      <c r="H23" s="10"/>
    </row>
    <row r="24" spans="1:11" ht="24.75" customHeight="1" thickBot="1" x14ac:dyDescent="0.3">
      <c r="A24" s="175"/>
      <c r="B24" s="176" t="s">
        <v>7</v>
      </c>
      <c r="C24" s="176"/>
      <c r="D24" s="164"/>
      <c r="E24" s="164"/>
      <c r="F24" s="164"/>
      <c r="G24" s="165"/>
      <c r="H24" s="7"/>
    </row>
    <row r="25" spans="1:11" ht="30" customHeight="1" thickTop="1" thickBot="1" x14ac:dyDescent="0.3">
      <c r="A25" s="170" t="s">
        <v>11</v>
      </c>
      <c r="B25" s="171"/>
      <c r="C25" s="172"/>
      <c r="D25" s="142"/>
      <c r="E25" s="143"/>
      <c r="F25" s="144"/>
      <c r="G25" s="145"/>
      <c r="H25" s="7"/>
    </row>
    <row r="26" spans="1:11" ht="28.5" customHeight="1" thickTop="1" x14ac:dyDescent="0.25">
      <c r="A26" s="9"/>
      <c r="B26" s="9"/>
      <c r="C26" s="9"/>
      <c r="D26" s="133"/>
      <c r="E26" s="136"/>
      <c r="F26" s="9"/>
      <c r="G26" s="9"/>
      <c r="H26" s="9"/>
      <c r="I26" s="9"/>
      <c r="J26" s="9"/>
    </row>
    <row r="27" spans="1:11" x14ac:dyDescent="0.25">
      <c r="D27" s="63"/>
      <c r="E27" s="63"/>
      <c r="I27" s="95"/>
      <c r="K27" s="7"/>
    </row>
    <row r="28" spans="1:11" x14ac:dyDescent="0.25">
      <c r="F28" s="7"/>
      <c r="I28" s="95"/>
    </row>
    <row r="29" spans="1:11" x14ac:dyDescent="0.25">
      <c r="F29" s="117"/>
      <c r="G29" s="63"/>
      <c r="I29" s="63"/>
    </row>
    <row r="30" spans="1:11" x14ac:dyDescent="0.25">
      <c r="F30" s="63"/>
    </row>
    <row r="31" spans="1:11" x14ac:dyDescent="0.25">
      <c r="G31" s="95"/>
    </row>
    <row r="36" spans="3:5" x14ac:dyDescent="0.25">
      <c r="C36" s="154"/>
      <c r="D36" s="63"/>
    </row>
    <row r="37" spans="3:5" x14ac:dyDescent="0.25">
      <c r="E37" s="95"/>
    </row>
    <row r="38" spans="3:5" ht="15.75" x14ac:dyDescent="0.25">
      <c r="C38" s="161"/>
      <c r="D38" s="160"/>
    </row>
    <row r="39" spans="3:5" x14ac:dyDescent="0.25">
      <c r="C39" s="155"/>
      <c r="E39" s="95"/>
    </row>
    <row r="40" spans="3:5" x14ac:dyDescent="0.25">
      <c r="C40" s="154"/>
      <c r="D40" s="63"/>
    </row>
    <row r="41" spans="3:5" x14ac:dyDescent="0.25">
      <c r="C41" s="154"/>
    </row>
    <row r="42" spans="3:5" x14ac:dyDescent="0.25">
      <c r="C42" s="154"/>
    </row>
    <row r="43" spans="3:5" x14ac:dyDescent="0.25">
      <c r="C43" s="154"/>
    </row>
  </sheetData>
  <mergeCells count="13">
    <mergeCell ref="G11:G12"/>
    <mergeCell ref="A1:G1"/>
    <mergeCell ref="A2:G2"/>
    <mergeCell ref="A25:C25"/>
    <mergeCell ref="A4:A10"/>
    <mergeCell ref="A11:A24"/>
    <mergeCell ref="B24:C24"/>
    <mergeCell ref="F11:F22"/>
    <mergeCell ref="C11:C22"/>
    <mergeCell ref="D11:D22"/>
    <mergeCell ref="E11:E22"/>
    <mergeCell ref="B10:C10"/>
    <mergeCell ref="B11:B22"/>
  </mergeCells>
  <pageMargins left="0.7" right="0.7" top="0.75" bottom="0.75" header="0.3" footer="0.3"/>
  <pageSetup paperSize="9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L37"/>
  <sheetViews>
    <sheetView topLeftCell="A2" zoomScale="130" zoomScaleNormal="130" workbookViewId="0">
      <selection activeCell="D6" sqref="D6:H21"/>
    </sheetView>
  </sheetViews>
  <sheetFormatPr baseColWidth="10" defaultRowHeight="15" x14ac:dyDescent="0.25"/>
  <cols>
    <col min="1" max="1" width="5.85546875" customWidth="1"/>
    <col min="3" max="3" width="34.28515625" customWidth="1"/>
    <col min="4" max="4" width="19.140625" customWidth="1"/>
    <col min="5" max="5" width="17.7109375" customWidth="1"/>
    <col min="6" max="6" width="22.42578125" customWidth="1"/>
    <col min="7" max="7" width="19.5703125" customWidth="1"/>
    <col min="8" max="8" width="18.42578125" customWidth="1"/>
    <col min="9" max="9" width="17.28515625" customWidth="1"/>
    <col min="10" max="10" width="20.7109375" customWidth="1"/>
    <col min="11" max="11" width="16.85546875" customWidth="1"/>
    <col min="12" max="12" width="13.85546875" customWidth="1"/>
  </cols>
  <sheetData>
    <row r="3" spans="1:12" ht="28.5" customHeight="1" x14ac:dyDescent="0.25">
      <c r="A3" s="190" t="s">
        <v>65</v>
      </c>
      <c r="B3" s="190"/>
      <c r="C3" s="190"/>
      <c r="D3" s="190"/>
      <c r="E3" s="190"/>
      <c r="F3" s="190"/>
      <c r="G3" s="190"/>
      <c r="H3" s="190"/>
      <c r="I3" s="156"/>
      <c r="J3" s="156"/>
      <c r="K3" s="156"/>
    </row>
    <row r="4" spans="1:12" ht="30.75" customHeight="1" thickBot="1" x14ac:dyDescent="0.3">
      <c r="A4" s="191" t="s">
        <v>58</v>
      </c>
      <c r="B4" s="191"/>
      <c r="C4" s="191"/>
      <c r="D4" s="191"/>
      <c r="E4" s="191"/>
      <c r="F4" s="191"/>
      <c r="G4" s="191"/>
      <c r="H4" s="191"/>
      <c r="I4" s="157"/>
      <c r="J4" s="157"/>
      <c r="K4" s="157"/>
      <c r="L4" s="157"/>
    </row>
    <row r="5" spans="1:12" ht="51.75" thickTop="1" thickBot="1" x14ac:dyDescent="0.3">
      <c r="A5" s="134" t="s">
        <v>8</v>
      </c>
      <c r="B5" s="29" t="s">
        <v>1</v>
      </c>
      <c r="C5" s="36" t="s">
        <v>2</v>
      </c>
      <c r="D5" s="28" t="s">
        <v>13</v>
      </c>
      <c r="E5" s="135" t="s">
        <v>68</v>
      </c>
      <c r="F5" s="28" t="s">
        <v>69</v>
      </c>
      <c r="G5" s="28" t="s">
        <v>70</v>
      </c>
      <c r="H5" s="29" t="s">
        <v>71</v>
      </c>
    </row>
    <row r="6" spans="1:12" ht="23.25" customHeight="1" thickTop="1" thickBot="1" x14ac:dyDescent="0.3">
      <c r="A6" s="192" t="s">
        <v>9</v>
      </c>
      <c r="B6" s="32">
        <v>60</v>
      </c>
      <c r="C6" s="79" t="s">
        <v>44</v>
      </c>
      <c r="D6" s="70"/>
      <c r="E6" s="94"/>
      <c r="F6" s="78"/>
      <c r="G6" s="74"/>
      <c r="H6" s="147"/>
    </row>
    <row r="7" spans="1:12" ht="23.25" customHeight="1" thickTop="1" thickBot="1" x14ac:dyDescent="0.3">
      <c r="A7" s="192"/>
      <c r="B7" s="33">
        <v>61</v>
      </c>
      <c r="C7" s="80" t="s">
        <v>45</v>
      </c>
      <c r="D7" s="62"/>
      <c r="E7" s="62"/>
      <c r="F7" s="76"/>
      <c r="G7" s="74"/>
      <c r="H7" s="147"/>
    </row>
    <row r="8" spans="1:12" ht="22.5" customHeight="1" thickTop="1" thickBot="1" x14ac:dyDescent="0.3">
      <c r="A8" s="192"/>
      <c r="B8" s="34">
        <v>62</v>
      </c>
      <c r="C8" s="81" t="s">
        <v>61</v>
      </c>
      <c r="D8" s="67"/>
      <c r="E8" s="67"/>
      <c r="F8" s="75"/>
      <c r="G8" s="74"/>
      <c r="H8" s="147"/>
    </row>
    <row r="9" spans="1:12" ht="21.75" customHeight="1" thickTop="1" thickBot="1" x14ac:dyDescent="0.3">
      <c r="A9" s="192"/>
      <c r="B9" s="35">
        <v>63</v>
      </c>
      <c r="C9" s="80" t="s">
        <v>64</v>
      </c>
      <c r="D9" s="68"/>
      <c r="E9" s="93"/>
      <c r="F9" s="76"/>
      <c r="G9" s="74"/>
      <c r="H9" s="147"/>
    </row>
    <row r="10" spans="1:12" ht="21.75" customHeight="1" thickTop="1" thickBot="1" x14ac:dyDescent="0.3">
      <c r="A10" s="192"/>
      <c r="B10" s="34">
        <v>64</v>
      </c>
      <c r="C10" s="81" t="s">
        <v>55</v>
      </c>
      <c r="D10" s="67"/>
      <c r="E10" s="67"/>
      <c r="F10" s="67"/>
      <c r="G10" s="74"/>
      <c r="H10" s="147"/>
      <c r="K10" s="11"/>
    </row>
    <row r="11" spans="1:12" ht="23.25" customHeight="1" thickTop="1" thickBot="1" x14ac:dyDescent="0.3">
      <c r="A11" s="192"/>
      <c r="B11" s="35">
        <v>65</v>
      </c>
      <c r="C11" s="80" t="s">
        <v>47</v>
      </c>
      <c r="D11" s="68"/>
      <c r="E11" s="93"/>
      <c r="F11" s="76"/>
      <c r="G11" s="74"/>
      <c r="H11" s="147"/>
    </row>
    <row r="12" spans="1:12" ht="22.5" customHeight="1" thickTop="1" thickBot="1" x14ac:dyDescent="0.3">
      <c r="A12" s="192"/>
      <c r="B12" s="34">
        <v>66</v>
      </c>
      <c r="C12" s="81" t="s">
        <v>48</v>
      </c>
      <c r="D12" s="67"/>
      <c r="E12" s="67"/>
      <c r="F12" s="75"/>
      <c r="G12" s="74"/>
      <c r="H12" s="147"/>
    </row>
    <row r="13" spans="1:12" ht="22.5" customHeight="1" thickTop="1" thickBot="1" x14ac:dyDescent="0.3">
      <c r="A13" s="192"/>
      <c r="B13" s="34">
        <v>67</v>
      </c>
      <c r="C13" s="80" t="s">
        <v>54</v>
      </c>
      <c r="D13" s="67"/>
      <c r="E13" s="67"/>
      <c r="F13" s="67"/>
      <c r="G13" s="67"/>
      <c r="H13" s="147"/>
    </row>
    <row r="14" spans="1:12" ht="22.5" customHeight="1" thickTop="1" thickBot="1" x14ac:dyDescent="0.3">
      <c r="A14" s="192"/>
      <c r="B14" s="33">
        <v>68</v>
      </c>
      <c r="C14" s="82" t="s">
        <v>53</v>
      </c>
      <c r="D14" s="67"/>
      <c r="E14" s="67"/>
      <c r="F14" s="67"/>
      <c r="G14" s="67"/>
      <c r="H14" s="147"/>
    </row>
    <row r="15" spans="1:12" s="73" customFormat="1" ht="22.5" thickTop="1" thickBot="1" x14ac:dyDescent="0.3">
      <c r="A15" s="192"/>
      <c r="B15" s="193" t="s">
        <v>7</v>
      </c>
      <c r="C15" s="194"/>
      <c r="D15" s="72"/>
      <c r="E15" s="72"/>
      <c r="F15" s="77"/>
      <c r="G15" s="87"/>
      <c r="H15" s="148"/>
    </row>
    <row r="16" spans="1:12" s="73" customFormat="1" ht="30" thickTop="1" thickBot="1" x14ac:dyDescent="0.3">
      <c r="A16" s="92"/>
      <c r="B16" s="39">
        <v>16</v>
      </c>
      <c r="C16" s="83" t="s">
        <v>51</v>
      </c>
      <c r="D16" s="71"/>
      <c r="E16" s="71"/>
      <c r="F16" s="74"/>
      <c r="G16" s="71"/>
      <c r="H16" s="149"/>
    </row>
    <row r="17" spans="1:12" ht="27" customHeight="1" thickTop="1" thickBot="1" x14ac:dyDescent="0.3">
      <c r="A17" s="192" t="s">
        <v>10</v>
      </c>
      <c r="B17" s="39">
        <v>23</v>
      </c>
      <c r="C17" s="83" t="s">
        <v>56</v>
      </c>
      <c r="D17" s="71"/>
      <c r="E17" s="71"/>
      <c r="F17" s="74"/>
      <c r="G17" s="75"/>
      <c r="H17" s="150"/>
    </row>
    <row r="18" spans="1:12" ht="25.5" customHeight="1" thickTop="1" thickBot="1" x14ac:dyDescent="0.3">
      <c r="A18" s="192"/>
      <c r="B18" s="32">
        <v>24</v>
      </c>
      <c r="C18" s="84" t="s">
        <v>50</v>
      </c>
      <c r="D18" s="70"/>
      <c r="E18" s="94"/>
      <c r="F18" s="74"/>
      <c r="G18" s="74"/>
      <c r="H18" s="150"/>
    </row>
    <row r="19" spans="1:12" ht="25.5" customHeight="1" thickTop="1" thickBot="1" x14ac:dyDescent="0.3">
      <c r="A19" s="192"/>
      <c r="B19" s="34">
        <v>275</v>
      </c>
      <c r="C19" s="85" t="s">
        <v>57</v>
      </c>
      <c r="D19" s="67"/>
      <c r="E19" s="67"/>
      <c r="F19" s="67"/>
      <c r="G19" s="67"/>
      <c r="H19" s="151"/>
    </row>
    <row r="20" spans="1:12" s="73" customFormat="1" ht="30.75" customHeight="1" thickTop="1" thickBot="1" x14ac:dyDescent="0.3">
      <c r="A20" s="192"/>
      <c r="B20" s="195" t="s">
        <v>7</v>
      </c>
      <c r="C20" s="195"/>
      <c r="D20" s="77"/>
      <c r="E20" s="115"/>
      <c r="F20" s="77"/>
      <c r="G20" s="86"/>
      <c r="H20" s="152"/>
    </row>
    <row r="21" spans="1:12" ht="30" customHeight="1" thickTop="1" thickBot="1" x14ac:dyDescent="0.3">
      <c r="A21" s="170" t="s">
        <v>11</v>
      </c>
      <c r="B21" s="171"/>
      <c r="C21" s="172"/>
      <c r="D21" s="69"/>
      <c r="E21" s="116"/>
      <c r="F21" s="69"/>
      <c r="G21" s="69"/>
      <c r="H21" s="153"/>
      <c r="I21" s="12"/>
    </row>
    <row r="22" spans="1:12" ht="15.75" thickTop="1" x14ac:dyDescent="0.25">
      <c r="G22" s="114"/>
      <c r="I22" s="88"/>
      <c r="L22" s="7"/>
    </row>
    <row r="24" spans="1:12" x14ac:dyDescent="0.25">
      <c r="G24" s="95"/>
      <c r="H24" s="95"/>
    </row>
    <row r="25" spans="1:12" x14ac:dyDescent="0.25">
      <c r="H25" s="63"/>
    </row>
    <row r="26" spans="1:12" x14ac:dyDescent="0.25">
      <c r="D26" s="63"/>
      <c r="G26" s="95"/>
      <c r="H26" s="95"/>
      <c r="J26" s="117"/>
    </row>
    <row r="27" spans="1:12" x14ac:dyDescent="0.25">
      <c r="E27" s="95"/>
      <c r="G27" s="63"/>
      <c r="H27" s="113"/>
      <c r="J27" s="7"/>
    </row>
    <row r="28" spans="1:12" x14ac:dyDescent="0.25">
      <c r="J28" s="7"/>
    </row>
    <row r="29" spans="1:12" x14ac:dyDescent="0.25">
      <c r="D29" s="63"/>
      <c r="J29" s="7"/>
    </row>
    <row r="30" spans="1:12" x14ac:dyDescent="0.25">
      <c r="E30" s="7"/>
      <c r="F30" s="7"/>
      <c r="G30" s="7"/>
      <c r="H30" s="117"/>
      <c r="I30" s="7"/>
      <c r="J30" s="7"/>
    </row>
    <row r="31" spans="1:12" x14ac:dyDescent="0.25">
      <c r="E31" s="7"/>
      <c r="F31" s="7"/>
      <c r="G31" s="7"/>
      <c r="H31" s="7"/>
      <c r="I31" s="7"/>
      <c r="J31" s="7"/>
    </row>
    <row r="32" spans="1:12" x14ac:dyDescent="0.25">
      <c r="E32" s="7"/>
      <c r="F32" s="7"/>
      <c r="G32" s="7"/>
      <c r="H32" s="7"/>
      <c r="I32" s="7"/>
      <c r="J32" s="7"/>
    </row>
    <row r="33" spans="5:10" x14ac:dyDescent="0.25">
      <c r="E33" s="7"/>
      <c r="F33" s="7"/>
      <c r="G33" s="7"/>
      <c r="H33" s="7"/>
      <c r="I33" s="7"/>
      <c r="J33" s="7"/>
    </row>
    <row r="34" spans="5:10" x14ac:dyDescent="0.25">
      <c r="E34" s="7"/>
      <c r="F34" s="7"/>
      <c r="G34" s="7"/>
      <c r="H34" s="7"/>
      <c r="I34" s="7"/>
      <c r="J34" s="7"/>
    </row>
    <row r="35" spans="5:10" x14ac:dyDescent="0.25">
      <c r="E35" s="7"/>
      <c r="F35" s="7"/>
      <c r="G35" s="7"/>
      <c r="H35" s="7"/>
      <c r="I35" s="7"/>
      <c r="J35" s="7"/>
    </row>
    <row r="36" spans="5:10" x14ac:dyDescent="0.25">
      <c r="E36" s="7"/>
      <c r="F36" s="7"/>
      <c r="G36" s="7"/>
      <c r="H36" s="7"/>
      <c r="I36" s="7"/>
      <c r="J36" s="7"/>
    </row>
    <row r="37" spans="5:10" x14ac:dyDescent="0.25">
      <c r="E37" s="7"/>
      <c r="F37" s="7"/>
      <c r="G37" s="7"/>
      <c r="H37" s="7"/>
      <c r="I37" s="7"/>
      <c r="J37" s="7"/>
    </row>
  </sheetData>
  <mergeCells count="7">
    <mergeCell ref="A3:H3"/>
    <mergeCell ref="A4:H4"/>
    <mergeCell ref="A21:C21"/>
    <mergeCell ref="A6:A15"/>
    <mergeCell ref="B15:C15"/>
    <mergeCell ref="A17:A20"/>
    <mergeCell ref="B20:C20"/>
  </mergeCells>
  <pageMargins left="0.7" right="0.7" top="0.75" bottom="0.75" header="0.3" footer="0.3"/>
  <pageSetup paperSize="9" scale="6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O18"/>
  <sheetViews>
    <sheetView workbookViewId="0">
      <selection activeCell="B6" sqref="B6:O17"/>
    </sheetView>
  </sheetViews>
  <sheetFormatPr baseColWidth="10" defaultRowHeight="15" x14ac:dyDescent="0.25"/>
  <cols>
    <col min="2" max="2" width="28.7109375" customWidth="1"/>
    <col min="3" max="4" width="15" customWidth="1"/>
    <col min="5" max="5" width="16.85546875" customWidth="1"/>
    <col min="6" max="6" width="17.7109375" customWidth="1"/>
    <col min="7" max="7" width="16.7109375" customWidth="1"/>
    <col min="8" max="8" width="16.140625" customWidth="1"/>
    <col min="9" max="9" width="18.140625" customWidth="1"/>
    <col min="10" max="10" width="17.85546875" customWidth="1"/>
    <col min="11" max="11" width="17.42578125" customWidth="1"/>
    <col min="12" max="13" width="16.5703125" customWidth="1"/>
    <col min="14" max="14" width="16.85546875" customWidth="1"/>
    <col min="15" max="15" width="16.28515625" customWidth="1"/>
  </cols>
  <sheetData>
    <row r="6" spans="1:15" ht="43.5" customHeight="1" x14ac:dyDescent="0.25">
      <c r="B6" s="190" t="s">
        <v>52</v>
      </c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</row>
    <row r="7" spans="1:15" ht="48" customHeight="1" x14ac:dyDescent="0.25">
      <c r="B7" s="198" t="s">
        <v>16</v>
      </c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</row>
    <row r="8" spans="1:15" ht="15.75" thickBot="1" x14ac:dyDescent="0.3"/>
    <row r="9" spans="1:15" ht="36" customHeight="1" thickTop="1" thickBot="1" x14ac:dyDescent="0.3">
      <c r="A9" s="7"/>
      <c r="B9" s="199" t="s">
        <v>37</v>
      </c>
      <c r="C9" s="201" t="s">
        <v>17</v>
      </c>
      <c r="D9" s="201" t="s">
        <v>18</v>
      </c>
      <c r="E9" s="204" t="s">
        <v>19</v>
      </c>
      <c r="F9" s="205"/>
      <c r="G9" s="206"/>
      <c r="H9" s="206" t="s">
        <v>21</v>
      </c>
      <c r="I9" s="207"/>
      <c r="J9" s="207"/>
      <c r="K9" s="206" t="s">
        <v>14</v>
      </c>
      <c r="L9" s="207"/>
      <c r="M9" s="207"/>
      <c r="N9" s="206" t="s">
        <v>28</v>
      </c>
      <c r="O9" s="207"/>
    </row>
    <row r="10" spans="1:15" ht="60.75" customHeight="1" thickTop="1" thickBot="1" x14ac:dyDescent="0.3">
      <c r="A10" s="7"/>
      <c r="B10" s="200"/>
      <c r="C10" s="202"/>
      <c r="D10" s="203"/>
      <c r="E10" s="48" t="s">
        <v>20</v>
      </c>
      <c r="F10" s="49" t="s">
        <v>6</v>
      </c>
      <c r="G10" s="45" t="s">
        <v>29</v>
      </c>
      <c r="H10" s="48" t="s">
        <v>22</v>
      </c>
      <c r="I10" s="49" t="s">
        <v>23</v>
      </c>
      <c r="J10" s="47" t="s">
        <v>7</v>
      </c>
      <c r="K10" s="48" t="s">
        <v>24</v>
      </c>
      <c r="L10" s="49" t="s">
        <v>25</v>
      </c>
      <c r="M10" s="47" t="s">
        <v>7</v>
      </c>
      <c r="N10" s="48" t="s">
        <v>26</v>
      </c>
      <c r="O10" s="45" t="s">
        <v>27</v>
      </c>
    </row>
    <row r="11" spans="1:15" ht="33" customHeight="1" thickTop="1" thickBot="1" x14ac:dyDescent="0.3">
      <c r="A11" s="7"/>
      <c r="B11" s="89"/>
      <c r="C11" s="26"/>
      <c r="D11" s="6"/>
      <c r="E11" s="44"/>
      <c r="F11" s="6"/>
      <c r="G11" s="24"/>
      <c r="H11" s="42"/>
      <c r="I11" s="17"/>
      <c r="J11" s="13"/>
      <c r="K11" s="17"/>
      <c r="L11" s="6"/>
      <c r="M11" s="24"/>
      <c r="N11" s="17"/>
      <c r="O11" s="22"/>
    </row>
    <row r="12" spans="1:15" ht="33" customHeight="1" thickBot="1" x14ac:dyDescent="0.3">
      <c r="A12" s="7"/>
      <c r="B12" s="89"/>
      <c r="C12" s="13"/>
      <c r="D12" s="6"/>
      <c r="E12" s="44"/>
      <c r="F12" s="4"/>
      <c r="G12" s="23"/>
      <c r="H12" s="43"/>
      <c r="I12" s="5"/>
      <c r="J12" s="27"/>
      <c r="K12" s="5"/>
      <c r="L12" s="3"/>
      <c r="M12" s="23"/>
      <c r="N12" s="5"/>
      <c r="O12" s="8"/>
    </row>
    <row r="13" spans="1:15" ht="33" customHeight="1" thickBot="1" x14ac:dyDescent="0.3">
      <c r="A13" s="7"/>
      <c r="B13" s="89"/>
      <c r="C13" s="13"/>
      <c r="D13" s="6"/>
      <c r="E13" s="44"/>
      <c r="F13" s="6"/>
      <c r="G13" s="24"/>
      <c r="H13" s="44"/>
      <c r="I13" s="17"/>
      <c r="J13" s="13"/>
      <c r="K13" s="17"/>
      <c r="L13" s="8"/>
      <c r="M13" s="24"/>
      <c r="N13" s="17"/>
      <c r="O13" s="24"/>
    </row>
    <row r="14" spans="1:15" ht="32.25" customHeight="1" thickBot="1" x14ac:dyDescent="0.3">
      <c r="A14" s="7"/>
      <c r="B14" s="90"/>
      <c r="C14" s="27"/>
      <c r="D14" s="3"/>
      <c r="E14" s="43"/>
      <c r="F14" s="3"/>
      <c r="G14" s="23"/>
      <c r="H14" s="3"/>
      <c r="I14" s="8"/>
      <c r="J14" s="27"/>
      <c r="K14" s="5"/>
      <c r="L14" s="3"/>
      <c r="M14" s="23"/>
      <c r="N14" s="5"/>
      <c r="O14" s="23"/>
    </row>
    <row r="15" spans="1:15" ht="33" customHeight="1" thickBot="1" x14ac:dyDescent="0.3">
      <c r="A15" s="7"/>
      <c r="B15" s="91"/>
      <c r="C15" s="38"/>
      <c r="D15" s="15"/>
      <c r="E15" s="44"/>
      <c r="F15" s="15"/>
      <c r="G15" s="31"/>
      <c r="H15" s="15"/>
      <c r="I15" s="14"/>
      <c r="J15" s="38"/>
      <c r="K15" s="18"/>
      <c r="L15" s="15"/>
      <c r="M15" s="31"/>
      <c r="N15" s="18"/>
      <c r="O15" s="31"/>
    </row>
    <row r="16" spans="1:15" ht="33" customHeight="1" thickBot="1" x14ac:dyDescent="0.3">
      <c r="A16" s="7"/>
      <c r="B16" s="91"/>
      <c r="C16" s="41"/>
      <c r="D16" s="6"/>
      <c r="E16" s="53"/>
      <c r="F16" s="52"/>
      <c r="G16" s="41"/>
      <c r="H16" s="6"/>
      <c r="I16" s="16"/>
      <c r="J16" s="41"/>
      <c r="K16" s="17"/>
      <c r="L16" s="6"/>
      <c r="M16" s="40"/>
      <c r="N16" s="17"/>
      <c r="O16" s="40"/>
    </row>
    <row r="17" spans="2:15" ht="33.75" customHeight="1" thickTop="1" thickBot="1" x14ac:dyDescent="0.3">
      <c r="B17" s="196" t="s">
        <v>7</v>
      </c>
      <c r="C17" s="197"/>
      <c r="D17" s="197"/>
      <c r="E17" s="50"/>
      <c r="F17" s="51"/>
      <c r="G17" s="46"/>
      <c r="H17" s="50"/>
      <c r="I17" s="51"/>
      <c r="J17" s="46"/>
      <c r="K17" s="50"/>
      <c r="L17" s="51"/>
      <c r="M17" s="46"/>
      <c r="N17" s="50"/>
      <c r="O17" s="46"/>
    </row>
    <row r="18" spans="2:15" ht="15.75" thickTop="1" x14ac:dyDescent="0.25"/>
  </sheetData>
  <mergeCells count="10">
    <mergeCell ref="B17:D17"/>
    <mergeCell ref="B6:O6"/>
    <mergeCell ref="B7:O7"/>
    <mergeCell ref="B9:B10"/>
    <mergeCell ref="C9:C10"/>
    <mergeCell ref="D9:D10"/>
    <mergeCell ref="E9:G9"/>
    <mergeCell ref="H9:J9"/>
    <mergeCell ref="K9:M9"/>
    <mergeCell ref="N9:O9"/>
  </mergeCells>
  <pageMargins left="0.7" right="0.7" top="0.75" bottom="0.75" header="0.3" footer="0.3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J33"/>
  <sheetViews>
    <sheetView workbookViewId="0">
      <selection activeCell="D20" sqref="D20:D21"/>
    </sheetView>
  </sheetViews>
  <sheetFormatPr baseColWidth="10" defaultRowHeight="15" x14ac:dyDescent="0.25"/>
  <cols>
    <col min="3" max="3" width="24.5703125" customWidth="1"/>
    <col min="4" max="4" width="42.5703125" customWidth="1"/>
    <col min="5" max="5" width="23.28515625" customWidth="1"/>
    <col min="6" max="6" width="40.7109375" customWidth="1"/>
    <col min="7" max="7" width="27.140625" customWidth="1"/>
  </cols>
  <sheetData>
    <row r="3" spans="2:10" ht="22.5" customHeight="1" thickBot="1" x14ac:dyDescent="0.3"/>
    <row r="4" spans="2:10" ht="31.5" customHeight="1" x14ac:dyDescent="0.25">
      <c r="C4" s="218" t="s">
        <v>65</v>
      </c>
      <c r="D4" s="186"/>
      <c r="E4" s="186"/>
      <c r="F4" s="186"/>
      <c r="G4" s="219"/>
    </row>
    <row r="5" spans="2:10" ht="29.25" customHeight="1" x14ac:dyDescent="0.25">
      <c r="C5" s="220" t="s">
        <v>73</v>
      </c>
      <c r="D5" s="221"/>
      <c r="E5" s="221"/>
      <c r="F5" s="221"/>
      <c r="G5" s="222"/>
    </row>
    <row r="6" spans="2:10" ht="25.5" customHeight="1" thickBot="1" x14ac:dyDescent="0.3">
      <c r="C6" s="126"/>
      <c r="D6" s="7"/>
      <c r="E6" s="7"/>
      <c r="F6" s="7"/>
      <c r="G6" s="127"/>
    </row>
    <row r="7" spans="2:10" ht="30.75" customHeight="1" thickTop="1" thickBot="1" x14ac:dyDescent="0.3">
      <c r="C7" s="223" t="s">
        <v>8</v>
      </c>
      <c r="D7" s="224" t="s">
        <v>0</v>
      </c>
      <c r="E7" s="225"/>
      <c r="F7" s="224" t="s">
        <v>32</v>
      </c>
      <c r="G7" s="226"/>
    </row>
    <row r="8" spans="2:10" ht="24" customHeight="1" thickTop="1" thickBot="1" x14ac:dyDescent="0.3">
      <c r="C8" s="223"/>
      <c r="D8" s="120" t="s">
        <v>30</v>
      </c>
      <c r="E8" s="119" t="s">
        <v>31</v>
      </c>
      <c r="F8" s="120" t="s">
        <v>30</v>
      </c>
      <c r="G8" s="128" t="s">
        <v>31</v>
      </c>
    </row>
    <row r="9" spans="2:10" ht="25.5" customHeight="1" thickTop="1" thickBot="1" x14ac:dyDescent="0.3">
      <c r="B9" s="7"/>
      <c r="C9" s="227" t="s">
        <v>15</v>
      </c>
      <c r="D9" s="104" t="s">
        <v>39</v>
      </c>
      <c r="E9" s="121">
        <f>+PRODUITS!E4</f>
        <v>0</v>
      </c>
      <c r="F9" s="79" t="s">
        <v>44</v>
      </c>
      <c r="G9" s="129">
        <f>+CHARGES!G6</f>
        <v>0</v>
      </c>
    </row>
    <row r="10" spans="2:10" ht="21.75" customHeight="1" thickBot="1" x14ac:dyDescent="0.3">
      <c r="B10" s="7"/>
      <c r="C10" s="215"/>
      <c r="D10" s="105" t="s">
        <v>40</v>
      </c>
      <c r="E10" s="100">
        <f>+PRODUITS!E5</f>
        <v>0</v>
      </c>
      <c r="F10" s="80" t="s">
        <v>45</v>
      </c>
      <c r="G10" s="123">
        <f>+CHARGES!G7</f>
        <v>0</v>
      </c>
      <c r="J10" s="54"/>
    </row>
    <row r="11" spans="2:10" ht="22.5" customHeight="1" thickBot="1" x14ac:dyDescent="0.3">
      <c r="B11" s="7"/>
      <c r="C11" s="215"/>
      <c r="D11" s="106" t="s">
        <v>41</v>
      </c>
      <c r="E11" s="100">
        <f>+PRODUITS!E7</f>
        <v>0</v>
      </c>
      <c r="F11" s="81" t="s">
        <v>61</v>
      </c>
      <c r="G11" s="123">
        <f>+CHARGES!G8</f>
        <v>0</v>
      </c>
    </row>
    <row r="12" spans="2:10" ht="29.25" customHeight="1" thickBot="1" x14ac:dyDescent="0.3">
      <c r="B12" s="7"/>
      <c r="C12" s="215"/>
      <c r="D12" s="107" t="s">
        <v>43</v>
      </c>
      <c r="E12" s="101">
        <v>0</v>
      </c>
      <c r="F12" s="80" t="s">
        <v>62</v>
      </c>
      <c r="G12" s="130">
        <f>+CHARGES!G9</f>
        <v>0</v>
      </c>
    </row>
    <row r="13" spans="2:10" ht="29.25" customHeight="1" thickBot="1" x14ac:dyDescent="0.3">
      <c r="B13" s="7"/>
      <c r="C13" s="215"/>
      <c r="D13" s="110" t="s">
        <v>72</v>
      </c>
      <c r="E13" s="100">
        <v>0</v>
      </c>
      <c r="F13" s="81" t="s">
        <v>46</v>
      </c>
      <c r="G13" s="123">
        <v>0</v>
      </c>
    </row>
    <row r="14" spans="2:10" ht="24" customHeight="1" thickBot="1" x14ac:dyDescent="0.3">
      <c r="B14" s="7"/>
      <c r="C14" s="215"/>
      <c r="D14" s="37"/>
      <c r="E14" s="56"/>
      <c r="F14" s="80" t="s">
        <v>47</v>
      </c>
      <c r="G14" s="124">
        <f>+CHARGES!G11</f>
        <v>0</v>
      </c>
    </row>
    <row r="15" spans="2:10" ht="24" customHeight="1" thickBot="1" x14ac:dyDescent="0.3">
      <c r="B15" s="7"/>
      <c r="C15" s="215"/>
      <c r="D15" s="57"/>
      <c r="E15" s="56"/>
      <c r="F15" s="81" t="s">
        <v>48</v>
      </c>
      <c r="G15" s="123">
        <f>+CHARGES!G12</f>
        <v>0</v>
      </c>
    </row>
    <row r="16" spans="2:10" ht="24" customHeight="1" thickBot="1" x14ac:dyDescent="0.3">
      <c r="B16" s="7"/>
      <c r="C16" s="215"/>
      <c r="D16" s="56"/>
      <c r="E16" s="55"/>
      <c r="F16" s="80" t="s">
        <v>49</v>
      </c>
      <c r="G16" s="123">
        <v>0</v>
      </c>
    </row>
    <row r="17" spans="2:8" ht="24" customHeight="1" thickBot="1" x14ac:dyDescent="0.3">
      <c r="B17" s="7"/>
      <c r="C17" s="215"/>
      <c r="D17" s="58"/>
      <c r="E17" s="56"/>
      <c r="F17" s="82" t="s">
        <v>60</v>
      </c>
      <c r="G17" s="123">
        <v>0</v>
      </c>
    </row>
    <row r="18" spans="2:8" ht="24" customHeight="1" thickBot="1" x14ac:dyDescent="0.3">
      <c r="B18" s="7"/>
      <c r="C18" s="215"/>
      <c r="D18" s="19" t="s">
        <v>33</v>
      </c>
      <c r="E18" s="102">
        <f>SUM(E9:E17)</f>
        <v>0</v>
      </c>
      <c r="F18" s="19" t="s">
        <v>38</v>
      </c>
      <c r="G18" s="131">
        <f>SUM(G9:G17)</f>
        <v>0</v>
      </c>
    </row>
    <row r="19" spans="2:8" ht="27.75" customHeight="1" thickTop="1" thickBot="1" x14ac:dyDescent="0.3">
      <c r="B19" s="7"/>
      <c r="C19" s="215"/>
      <c r="D19" s="211" t="s">
        <v>77</v>
      </c>
      <c r="E19" s="212"/>
      <c r="F19" s="212"/>
      <c r="G19" s="213"/>
      <c r="H19" s="7"/>
    </row>
    <row r="20" spans="2:8" ht="39" customHeight="1" thickBot="1" x14ac:dyDescent="0.3">
      <c r="C20" s="214" t="s">
        <v>36</v>
      </c>
      <c r="D20" s="230" t="str">
        <f>PRODUITS!C11</f>
        <v>SUBVENTION D'INVESTISSEMENT</v>
      </c>
      <c r="E20" s="232">
        <f>PRODUITS!E11</f>
        <v>0</v>
      </c>
      <c r="F20" s="85" t="s">
        <v>51</v>
      </c>
      <c r="G20" s="123">
        <v>0</v>
      </c>
      <c r="H20" s="7"/>
    </row>
    <row r="21" spans="2:8" ht="37.5" customHeight="1" thickBot="1" x14ac:dyDescent="0.3">
      <c r="C21" s="215"/>
      <c r="D21" s="231"/>
      <c r="E21" s="233"/>
      <c r="F21" s="85" t="s">
        <v>59</v>
      </c>
      <c r="G21" s="123">
        <f>+CHARGES!G17</f>
        <v>0</v>
      </c>
    </row>
    <row r="22" spans="2:8" ht="22.5" customHeight="1" thickBot="1" x14ac:dyDescent="0.3">
      <c r="C22" s="215"/>
      <c r="D22" s="112" t="str">
        <f>PRODUITS!C23</f>
        <v>REPORT D'INVESTISSEMENT 2019</v>
      </c>
      <c r="E22" s="122">
        <f>PRODUITS!D23</f>
        <v>0</v>
      </c>
      <c r="F22" s="81" t="s">
        <v>50</v>
      </c>
      <c r="G22" s="124">
        <f>+CHARGES!G18</f>
        <v>0</v>
      </c>
    </row>
    <row r="23" spans="2:8" ht="25.5" customHeight="1" thickBot="1" x14ac:dyDescent="0.3">
      <c r="C23" s="215"/>
      <c r="D23" s="19" t="s">
        <v>34</v>
      </c>
      <c r="E23" s="103">
        <f>E20+E22</f>
        <v>0</v>
      </c>
      <c r="F23" s="19" t="s">
        <v>35</v>
      </c>
      <c r="G23" s="125">
        <f>G20+G21+G22</f>
        <v>0</v>
      </c>
    </row>
    <row r="24" spans="2:8" ht="20.25" thickTop="1" thickBot="1" x14ac:dyDescent="0.3">
      <c r="C24" s="215"/>
      <c r="D24" s="216" t="s">
        <v>75</v>
      </c>
      <c r="E24" s="216"/>
      <c r="F24" s="216"/>
      <c r="G24" s="217"/>
    </row>
    <row r="25" spans="2:8" ht="28.5" customHeight="1" thickBot="1" x14ac:dyDescent="0.3">
      <c r="B25" s="7"/>
      <c r="C25" s="228" t="s">
        <v>11</v>
      </c>
      <c r="D25" s="229"/>
      <c r="E25" s="103">
        <f>E18+E23</f>
        <v>0</v>
      </c>
      <c r="F25" s="132" t="s">
        <v>11</v>
      </c>
      <c r="G25" s="125">
        <f>G18+G23</f>
        <v>0</v>
      </c>
    </row>
    <row r="26" spans="2:8" ht="21.75" customHeight="1" thickBot="1" x14ac:dyDescent="0.3">
      <c r="B26" s="7"/>
      <c r="C26" s="208" t="s">
        <v>76</v>
      </c>
      <c r="D26" s="209"/>
      <c r="E26" s="209"/>
      <c r="F26" s="209"/>
      <c r="G26" s="210"/>
    </row>
    <row r="28" spans="2:8" x14ac:dyDescent="0.25">
      <c r="F28" s="63"/>
      <c r="G28" s="63"/>
    </row>
    <row r="29" spans="2:8" x14ac:dyDescent="0.25">
      <c r="E29" s="63"/>
      <c r="F29" s="63"/>
      <c r="G29" s="63"/>
    </row>
    <row r="30" spans="2:8" x14ac:dyDescent="0.25">
      <c r="E30" s="63"/>
      <c r="F30" s="63"/>
      <c r="G30" s="63"/>
    </row>
    <row r="31" spans="2:8" x14ac:dyDescent="0.25">
      <c r="E31" s="63"/>
      <c r="F31" s="63"/>
      <c r="G31" s="111"/>
    </row>
    <row r="32" spans="2:8" x14ac:dyDescent="0.25">
      <c r="F32" s="63"/>
    </row>
    <row r="33" spans="6:6" x14ac:dyDescent="0.25">
      <c r="F33" s="95"/>
    </row>
  </sheetData>
  <mergeCells count="13">
    <mergeCell ref="C26:G26"/>
    <mergeCell ref="D19:G19"/>
    <mergeCell ref="C20:C24"/>
    <mergeCell ref="D24:G24"/>
    <mergeCell ref="C4:G4"/>
    <mergeCell ref="C5:G5"/>
    <mergeCell ref="C7:C8"/>
    <mergeCell ref="D7:E7"/>
    <mergeCell ref="F7:G7"/>
    <mergeCell ref="C9:C19"/>
    <mergeCell ref="C25:D25"/>
    <mergeCell ref="D20:D21"/>
    <mergeCell ref="E20:E21"/>
  </mergeCells>
  <pageMargins left="0.7" right="0.7" top="0.75" bottom="0.75" header="0.3" footer="0.3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3</vt:i4>
      </vt:variant>
    </vt:vector>
  </HeadingPairs>
  <TitlesOfParts>
    <vt:vector size="7" baseType="lpstr">
      <vt:lpstr>PRODUITS</vt:lpstr>
      <vt:lpstr>CHARGES</vt:lpstr>
      <vt:lpstr>INVEST, LT</vt:lpstr>
      <vt:lpstr>RESULTAT</vt:lpstr>
      <vt:lpstr>CHARGES!Zone_d_impression</vt:lpstr>
      <vt:lpstr>'INVEST, LT'!Zone_d_impression</vt:lpstr>
      <vt:lpstr>PRODUITS!Zone_d_impression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MBISSANE-PC</dc:creator>
  <cp:lastModifiedBy>HP</cp:lastModifiedBy>
  <cp:lastPrinted>2020-12-01T12:47:16Z</cp:lastPrinted>
  <dcterms:created xsi:type="dcterms:W3CDTF">2017-01-17T10:32:53Z</dcterms:created>
  <dcterms:modified xsi:type="dcterms:W3CDTF">2026-04-04T20:43:14Z</dcterms:modified>
</cp:coreProperties>
</file>